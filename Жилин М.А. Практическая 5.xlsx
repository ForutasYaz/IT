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ИСП291 2026-2027\Жилин Матвей\"/>
    </mc:Choice>
  </mc:AlternateContent>
  <bookViews>
    <workbookView xWindow="0" yWindow="0" windowWidth="28800" windowHeight="12330" activeTab="1"/>
  </bookViews>
  <sheets>
    <sheet name="Математика" sheetId="1" r:id="rId1"/>
    <sheet name="Расчет кредита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S8" i="1"/>
  <c r="S7" i="1"/>
  <c r="S6" i="1"/>
  <c r="S5" i="1"/>
  <c r="S4" i="1"/>
  <c r="S3" i="1"/>
  <c r="S2" i="1"/>
  <c r="R3" i="1"/>
  <c r="R4" i="1"/>
  <c r="R5" i="1"/>
  <c r="R6" i="1"/>
  <c r="R7" i="1"/>
  <c r="R8" i="1"/>
  <c r="R2" i="1"/>
  <c r="Q3" i="1"/>
  <c r="Q4" i="1"/>
  <c r="Q5" i="1"/>
  <c r="Q6" i="1"/>
  <c r="Q7" i="1"/>
  <c r="Q8" i="1"/>
  <c r="Q2" i="1"/>
  <c r="O3" i="1"/>
  <c r="O4" i="1"/>
  <c r="O5" i="1"/>
  <c r="O6" i="1"/>
  <c r="O7" i="1"/>
  <c r="O8" i="1"/>
  <c r="O2" i="1"/>
  <c r="M8" i="1"/>
  <c r="M7" i="1"/>
  <c r="M6" i="1"/>
  <c r="M5" i="1"/>
  <c r="M4" i="1"/>
  <c r="M3" i="1"/>
  <c r="M2" i="1"/>
  <c r="L3" i="1"/>
  <c r="L4" i="1"/>
  <c r="L5" i="1"/>
  <c r="L6" i="1"/>
  <c r="L7" i="1"/>
  <c r="L8" i="1"/>
  <c r="L2" i="1"/>
  <c r="K3" i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<sst xmlns="http://schemas.openxmlformats.org/spreadsheetml/2006/main" count="37" uniqueCount="37">
  <si>
    <t>Ячейка</t>
  </si>
  <si>
    <t>Содержимое</t>
  </si>
  <si>
    <t>А1</t>
  </si>
  <si>
    <t>В1</t>
  </si>
  <si>
    <t>С1</t>
  </si>
  <si>
    <t>D1</t>
  </si>
  <si>
    <t>E1</t>
  </si>
  <si>
    <t>Радиус R (мм)</t>
  </si>
  <si>
    <t>Высота h (мм)</t>
  </si>
  <si>
    <t>Масса m (кг)</t>
  </si>
  <si>
    <t>Длина L (мм)</t>
  </si>
  <si>
    <t>№</t>
  </si>
  <si>
    <t>№ детали</t>
  </si>
  <si>
    <t>R</t>
  </si>
  <si>
    <t>h</t>
  </si>
  <si>
    <t>m</t>
  </si>
  <si>
    <t>L</t>
  </si>
  <si>
    <t>№ п/п</t>
  </si>
  <si>
    <t>Диаметр</t>
  </si>
  <si>
    <t>Обьем цилиндра</t>
  </si>
  <si>
    <t>Корень из обьема</t>
  </si>
  <si>
    <t>Норма массы</t>
  </si>
  <si>
    <t>Отклонения массы</t>
  </si>
  <si>
    <t>Угол</t>
  </si>
  <si>
    <t>Длинна дуги</t>
  </si>
  <si>
    <t xml:space="preserve">Проверка RADIANS </t>
  </si>
  <si>
    <t>Суммирование</t>
  </si>
  <si>
    <t xml:space="preserve">Ячейка </t>
  </si>
  <si>
    <t>Значение</t>
  </si>
  <si>
    <t>Описание</t>
  </si>
  <si>
    <t>A1</t>
  </si>
  <si>
    <t>A2</t>
  </si>
  <si>
    <t>A3</t>
  </si>
  <si>
    <t>Сумма кредита</t>
  </si>
  <si>
    <t>Годовая ставка</t>
  </si>
  <si>
    <t>Срок</t>
  </si>
  <si>
    <t>Полная сумма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</si>
</sst>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/>
    </xf>
    <xf numFmtId="168" fontId="0" fillId="0" borderId="0" xfId="0" applyNumberFormat="1"/>
    <xf numFmtId="168" fontId="0" fillId="0" borderId="1" xfId="0" applyNumberFormat="1" applyFill="1" applyBorder="1" applyAlignment="1">
      <alignment horizontal="center"/>
    </xf>
    <xf numFmtId="168" fontId="0" fillId="0" borderId="1" xfId="0" applyNumberFormat="1" applyBorder="1"/>
    <xf numFmtId="168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opLeftCell="B1" workbookViewId="0">
      <selection activeCell="S9" sqref="S9"/>
    </sheetView>
  </sheetViews>
  <sheetFormatPr defaultRowHeight="15" x14ac:dyDescent="0.25"/>
  <cols>
    <col min="2" max="2" width="18.85546875" customWidth="1"/>
    <col min="4" max="4" width="3.42578125" customWidth="1"/>
    <col min="5" max="5" width="4.5703125" customWidth="1"/>
    <col min="6" max="6" width="5" customWidth="1"/>
    <col min="7" max="7" width="4.85546875" customWidth="1"/>
    <col min="8" max="8" width="5.5703125" customWidth="1"/>
    <col min="12" max="12" width="16.7109375" customWidth="1"/>
    <col min="13" max="13" width="18.42578125" customWidth="1"/>
    <col min="14" max="14" width="13.28515625" customWidth="1"/>
    <col min="15" max="15" width="12.42578125" customWidth="1"/>
    <col min="17" max="17" width="8.5703125" customWidth="1"/>
    <col min="18" max="18" width="12" customWidth="1"/>
    <col min="19" max="19" width="15.28515625" customWidth="1"/>
  </cols>
  <sheetData>
    <row r="1" spans="1:19" ht="30" x14ac:dyDescent="0.25">
      <c r="A1" s="3" t="s">
        <v>0</v>
      </c>
      <c r="B1" s="3" t="s">
        <v>1</v>
      </c>
      <c r="C1" s="4"/>
      <c r="D1" s="3" t="s">
        <v>11</v>
      </c>
      <c r="E1" s="3" t="s">
        <v>13</v>
      </c>
      <c r="F1" s="3" t="s">
        <v>14</v>
      </c>
      <c r="G1" s="3" t="s">
        <v>15</v>
      </c>
      <c r="H1" s="3" t="s">
        <v>16</v>
      </c>
      <c r="I1" s="4"/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5" t="s">
        <v>22</v>
      </c>
      <c r="P1" s="3" t="s">
        <v>23</v>
      </c>
      <c r="Q1" s="6" t="s">
        <v>24</v>
      </c>
      <c r="R1" s="6" t="s">
        <v>25</v>
      </c>
      <c r="S1" s="12" t="s">
        <v>26</v>
      </c>
    </row>
    <row r="2" spans="1:19" x14ac:dyDescent="0.25">
      <c r="A2" s="1" t="s">
        <v>2</v>
      </c>
      <c r="B2" s="1" t="s">
        <v>12</v>
      </c>
      <c r="D2" s="7">
        <v>1</v>
      </c>
      <c r="E2" s="7">
        <v>12.5</v>
      </c>
      <c r="F2" s="7">
        <v>30</v>
      </c>
      <c r="G2" s="7">
        <v>2.4</v>
      </c>
      <c r="H2" s="7">
        <v>145</v>
      </c>
      <c r="I2" s="8"/>
      <c r="J2" s="9">
        <v>1</v>
      </c>
      <c r="K2" s="10">
        <f>2*E2</f>
        <v>25</v>
      </c>
      <c r="L2" s="10">
        <f>PI()*POWER(E2,2)*F2</f>
        <v>14726.215563702155</v>
      </c>
      <c r="M2" s="10">
        <f>SQRT(L2)</f>
        <v>121.3516195347312</v>
      </c>
      <c r="N2" s="11">
        <v>3</v>
      </c>
      <c r="O2" s="10">
        <f>ABS(G2-$N$2)</f>
        <v>0.60000000000000009</v>
      </c>
      <c r="P2" s="10">
        <v>60</v>
      </c>
      <c r="Q2" s="10">
        <f>PI()*E2*$P$2/180</f>
        <v>13.089969389957471</v>
      </c>
      <c r="R2" s="10">
        <f>E2*RADIANS($P$2)</f>
        <v>13.089969389957471</v>
      </c>
      <c r="S2" s="10">
        <f>SUM(G2:G8)</f>
        <v>21.799999999999997</v>
      </c>
    </row>
    <row r="3" spans="1:19" x14ac:dyDescent="0.25">
      <c r="A3" s="1" t="s">
        <v>3</v>
      </c>
      <c r="B3" s="1" t="s">
        <v>7</v>
      </c>
      <c r="D3" s="7">
        <v>2</v>
      </c>
      <c r="E3" s="7">
        <v>8.3000000000000007</v>
      </c>
      <c r="F3" s="7">
        <v>25</v>
      </c>
      <c r="G3" s="7">
        <v>1.1000000000000001</v>
      </c>
      <c r="H3" s="7">
        <v>98</v>
      </c>
      <c r="I3" s="8"/>
      <c r="J3" s="9">
        <v>2</v>
      </c>
      <c r="K3" s="10">
        <f t="shared" ref="K3:K8" si="0">2*E3</f>
        <v>16.600000000000001</v>
      </c>
      <c r="L3" s="10">
        <f t="shared" ref="L3:L8" si="1">PI()*POWER(E3,2)*F3</f>
        <v>5410.6079476450223</v>
      </c>
      <c r="M3" s="10">
        <f>SQRT(L3)</f>
        <v>73.556834812578927</v>
      </c>
      <c r="N3" s="11">
        <v>3</v>
      </c>
      <c r="O3" s="10">
        <f t="shared" ref="O3:O8" si="2">ABS(G3-$N$2)</f>
        <v>1.9</v>
      </c>
      <c r="P3" s="10">
        <v>60</v>
      </c>
      <c r="Q3" s="10">
        <f t="shared" ref="Q3:Q8" si="3">PI()*E3*$P$2/180</f>
        <v>8.6917396749317621</v>
      </c>
      <c r="R3" s="10">
        <f t="shared" ref="R3:R8" si="4">E3*RADIANS($P$2)</f>
        <v>8.6917396749317604</v>
      </c>
      <c r="S3" s="10">
        <f>SUMIF(G2:G8,"&gt;2")</f>
        <v>18.100000000000001</v>
      </c>
    </row>
    <row r="4" spans="1:19" x14ac:dyDescent="0.25">
      <c r="A4" s="1" t="s">
        <v>4</v>
      </c>
      <c r="B4" s="1" t="s">
        <v>8</v>
      </c>
      <c r="D4" s="7">
        <v>3</v>
      </c>
      <c r="E4" s="7">
        <v>15.7</v>
      </c>
      <c r="F4" s="7">
        <v>40</v>
      </c>
      <c r="G4" s="7">
        <v>4</v>
      </c>
      <c r="H4" s="7">
        <v>210</v>
      </c>
      <c r="I4" s="8"/>
      <c r="J4" s="9">
        <v>3</v>
      </c>
      <c r="K4" s="10">
        <f t="shared" si="0"/>
        <v>31.4</v>
      </c>
      <c r="L4" s="10">
        <f t="shared" si="1"/>
        <v>30974.846927333921</v>
      </c>
      <c r="M4" s="10">
        <f>SQRT(L4)</f>
        <v>175.99672419489494</v>
      </c>
      <c r="N4" s="11">
        <v>3</v>
      </c>
      <c r="O4" s="10">
        <f t="shared" si="2"/>
        <v>1</v>
      </c>
      <c r="P4" s="10">
        <v>60</v>
      </c>
      <c r="Q4" s="10">
        <f t="shared" si="3"/>
        <v>16.441001553786581</v>
      </c>
      <c r="R4" s="10">
        <f t="shared" si="4"/>
        <v>16.441001553786581</v>
      </c>
      <c r="S4" s="10">
        <f>SUMPRODUCT(G2:G8,H2:H8)/SUM(H2:H8)</f>
        <v>4.0744612928970474</v>
      </c>
    </row>
    <row r="5" spans="1:19" x14ac:dyDescent="0.25">
      <c r="A5" s="1" t="s">
        <v>5</v>
      </c>
      <c r="B5" s="1" t="s">
        <v>9</v>
      </c>
      <c r="D5" s="7">
        <v>4</v>
      </c>
      <c r="E5" s="7">
        <v>6.2</v>
      </c>
      <c r="F5" s="7">
        <v>18</v>
      </c>
      <c r="G5" s="7">
        <v>0.7</v>
      </c>
      <c r="H5" s="7">
        <v>75</v>
      </c>
      <c r="I5" s="8"/>
      <c r="J5" s="9">
        <v>4</v>
      </c>
      <c r="K5" s="10">
        <f t="shared" si="0"/>
        <v>12.4</v>
      </c>
      <c r="L5" s="10">
        <f t="shared" si="1"/>
        <v>2173.7307888718501</v>
      </c>
      <c r="M5" s="10">
        <f>SQRT(L5)</f>
        <v>46.623285908136616</v>
      </c>
      <c r="N5" s="11">
        <v>3</v>
      </c>
      <c r="O5" s="10">
        <f t="shared" si="2"/>
        <v>2.2999999999999998</v>
      </c>
      <c r="P5" s="10">
        <v>60</v>
      </c>
      <c r="Q5" s="10">
        <f t="shared" si="3"/>
        <v>6.4926248174189052</v>
      </c>
      <c r="R5" s="10">
        <f t="shared" si="4"/>
        <v>6.4926248174189052</v>
      </c>
      <c r="S5" s="10">
        <f>COUNTIF(G2:G8,"&gt;2")</f>
        <v>4</v>
      </c>
    </row>
    <row r="6" spans="1:19" x14ac:dyDescent="0.25">
      <c r="A6" s="1" t="s">
        <v>6</v>
      </c>
      <c r="B6" s="1" t="s">
        <v>10</v>
      </c>
      <c r="D6" s="7">
        <v>5</v>
      </c>
      <c r="E6" s="7">
        <v>20.100000000000001</v>
      </c>
      <c r="F6" s="7">
        <v>55</v>
      </c>
      <c r="G6" s="7">
        <v>6.5</v>
      </c>
      <c r="H6" s="7">
        <v>320</v>
      </c>
      <c r="I6" s="8"/>
      <c r="J6" s="9">
        <v>5</v>
      </c>
      <c r="K6" s="10">
        <f t="shared" si="0"/>
        <v>40.200000000000003</v>
      </c>
      <c r="L6" s="10">
        <f t="shared" si="1"/>
        <v>69807.916638724681</v>
      </c>
      <c r="M6" s="10">
        <f>SQRT(L6)</f>
        <v>264.21187830740064</v>
      </c>
      <c r="N6" s="11">
        <v>3</v>
      </c>
      <c r="O6" s="10">
        <f t="shared" si="2"/>
        <v>3.5</v>
      </c>
      <c r="P6" s="10">
        <v>60</v>
      </c>
      <c r="Q6" s="10">
        <f t="shared" si="3"/>
        <v>21.048670779051616</v>
      </c>
      <c r="R6" s="10">
        <f t="shared" si="4"/>
        <v>21.048670779051612</v>
      </c>
      <c r="S6" s="10">
        <f>AVERAGE(G2:G8)</f>
        <v>3.1142857142857139</v>
      </c>
    </row>
    <row r="7" spans="1:19" x14ac:dyDescent="0.25">
      <c r="D7" s="7">
        <v>6</v>
      </c>
      <c r="E7" s="7">
        <v>10.4</v>
      </c>
      <c r="F7" s="7">
        <v>28</v>
      </c>
      <c r="G7" s="7">
        <v>1.9</v>
      </c>
      <c r="H7" s="7">
        <v>130</v>
      </c>
      <c r="I7" s="8"/>
      <c r="J7" s="9">
        <v>6</v>
      </c>
      <c r="K7" s="10">
        <f t="shared" si="0"/>
        <v>20.8</v>
      </c>
      <c r="L7" s="10">
        <f t="shared" si="1"/>
        <v>9514.250519543617</v>
      </c>
      <c r="M7" s="10">
        <f>SQRT(L7)</f>
        <v>97.541019676562826</v>
      </c>
      <c r="N7" s="11">
        <v>3</v>
      </c>
      <c r="O7" s="10">
        <f t="shared" si="2"/>
        <v>1.1000000000000001</v>
      </c>
      <c r="P7" s="10">
        <v>60</v>
      </c>
      <c r="Q7" s="10">
        <f t="shared" si="3"/>
        <v>10.890854532444616</v>
      </c>
      <c r="R7" s="10">
        <f t="shared" si="4"/>
        <v>10.890854532444616</v>
      </c>
      <c r="S7" s="10">
        <f>MAX(G2:G8)</f>
        <v>6.5</v>
      </c>
    </row>
    <row r="8" spans="1:19" x14ac:dyDescent="0.25">
      <c r="D8" s="7">
        <v>7</v>
      </c>
      <c r="E8" s="7">
        <v>18.899999999999999</v>
      </c>
      <c r="F8" s="7">
        <v>48</v>
      </c>
      <c r="G8" s="7">
        <v>5.2</v>
      </c>
      <c r="H8" s="7">
        <v>275</v>
      </c>
      <c r="I8" s="8"/>
      <c r="J8" s="9">
        <v>7</v>
      </c>
      <c r="K8" s="10">
        <f t="shared" si="0"/>
        <v>37.799999999999997</v>
      </c>
      <c r="L8" s="10">
        <f t="shared" si="1"/>
        <v>53865.998965862877</v>
      </c>
      <c r="M8" s="10">
        <f>SQRT(L8)</f>
        <v>232.09049736226359</v>
      </c>
      <c r="N8" s="11">
        <v>3</v>
      </c>
      <c r="O8" s="10">
        <f t="shared" si="2"/>
        <v>2.2000000000000002</v>
      </c>
      <c r="P8" s="10">
        <v>60</v>
      </c>
      <c r="Q8" s="10">
        <f t="shared" si="3"/>
        <v>19.792033717615695</v>
      </c>
      <c r="R8" s="10">
        <f t="shared" si="4"/>
        <v>19.792033717615695</v>
      </c>
      <c r="S8" s="10">
        <f>MIN(G2:G8)</f>
        <v>0.7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G6" sqref="G6"/>
    </sheetView>
  </sheetViews>
  <sheetFormatPr defaultRowHeight="15" x14ac:dyDescent="0.25"/>
  <cols>
    <col min="2" max="2" width="12.140625" customWidth="1"/>
    <col min="3" max="3" width="14.7109375" customWidth="1"/>
    <col min="5" max="5" width="25.5703125" customWidth="1"/>
  </cols>
  <sheetData>
    <row r="1" spans="1:5" x14ac:dyDescent="0.25">
      <c r="A1" s="3" t="s">
        <v>27</v>
      </c>
      <c r="B1" s="3" t="s">
        <v>28</v>
      </c>
      <c r="C1" s="3" t="s">
        <v>29</v>
      </c>
    </row>
    <row r="2" spans="1:5" x14ac:dyDescent="0.25">
      <c r="A2" s="13" t="s">
        <v>30</v>
      </c>
      <c r="B2" s="13">
        <v>500000</v>
      </c>
      <c r="C2" s="13" t="s">
        <v>33</v>
      </c>
      <c r="E2" s="2" t="s">
        <v>36</v>
      </c>
    </row>
    <row r="3" spans="1:5" x14ac:dyDescent="0.25">
      <c r="A3" s="13" t="s">
        <v>31</v>
      </c>
      <c r="B3" s="14">
        <v>0.18</v>
      </c>
      <c r="C3" s="13" t="s">
        <v>34</v>
      </c>
      <c r="E3" s="15">
        <f>PMT(B3/12, B4*12, -B2)*B4*12</f>
        <v>650743.11964650301</v>
      </c>
    </row>
    <row r="4" spans="1:5" x14ac:dyDescent="0.25">
      <c r="A4" s="13" t="s">
        <v>32</v>
      </c>
      <c r="B4" s="13">
        <v>3</v>
      </c>
      <c r="C4" s="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2026-10-05T10:21:43Z</dcterms:created>
  <dcterms:modified xsi:type="dcterms:W3CDTF">2026-10-05T11:55:07Z</dcterms:modified>
</cp:coreProperties>
</file>